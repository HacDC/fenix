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notnic\coding\fenix\"/>
    </mc:Choice>
  </mc:AlternateContent>
  <xr:revisionPtr revIDLastSave="0" documentId="8_{C0E8F13A-DE69-4BF3-AFDD-3077A2D9AE6E}" xr6:coauthVersionLast="47" xr6:coauthVersionMax="47" xr10:uidLastSave="{00000000-0000-0000-0000-000000000000}"/>
  <bookViews>
    <workbookView xWindow="5025" yWindow="2055" windowWidth="24240" windowHeight="15225" activeTab="1" xr2:uid="{B98F479F-00B7-4265-88C9-EE7E1F4F37A4}"/>
  </bookViews>
  <sheets>
    <sheet name="mass_and_power" sheetId="1" r:id="rId1"/>
    <sheet name="RF_lin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C6" i="3"/>
  <c r="C7" i="3" s="1"/>
  <c r="E7" i="3" s="1"/>
  <c r="G7" i="3" s="1"/>
  <c r="E5" i="3"/>
  <c r="G5" i="3" s="1"/>
  <c r="C8" i="3" l="1"/>
  <c r="E8" i="3" s="1"/>
  <c r="G8" i="3" s="1"/>
  <c r="C10" i="3" l="1"/>
  <c r="C16" i="3" s="1"/>
  <c r="C21" i="3" s="1"/>
  <c r="C25" i="3" s="1"/>
</calcChain>
</file>

<file path=xl/sharedStrings.xml><?xml version="1.0" encoding="utf-8"?>
<sst xmlns="http://schemas.openxmlformats.org/spreadsheetml/2006/main" count="95" uniqueCount="75">
  <si>
    <t>HacDC Space Blimp "Fenix"</t>
  </si>
  <si>
    <t>Item</t>
  </si>
  <si>
    <t>Min Temp (degC)</t>
  </si>
  <si>
    <t>Power (Avg)</t>
  </si>
  <si>
    <t>Structure</t>
  </si>
  <si>
    <t>Heaters</t>
  </si>
  <si>
    <t>CPU Module</t>
  </si>
  <si>
    <t>Meshtastic Node</t>
  </si>
  <si>
    <t>GPS Module</t>
  </si>
  <si>
    <t>Film Camera</t>
  </si>
  <si>
    <t>Servo(s)</t>
  </si>
  <si>
    <t>AirTag</t>
  </si>
  <si>
    <t>Battery</t>
  </si>
  <si>
    <t>Payloads</t>
  </si>
  <si>
    <t>GPS &amp; command/ctrl antennas</t>
  </si>
  <si>
    <t xml:space="preserve">Host Platform </t>
  </si>
  <si>
    <t>Mass (gm)</t>
  </si>
  <si>
    <t>Balloon Valve</t>
  </si>
  <si>
    <t>Warm Box</t>
  </si>
  <si>
    <t>Mounting Frame &amp; Hardware</t>
  </si>
  <si>
    <t>uSD Module</t>
  </si>
  <si>
    <t>Servo Controller</t>
  </si>
  <si>
    <t>Gyro/Compass/Temp Sensor</t>
  </si>
  <si>
    <t>Payload Antenna(s)</t>
  </si>
  <si>
    <t>Harness</t>
  </si>
  <si>
    <t>Power (Peak)</t>
  </si>
  <si>
    <t>Main Board</t>
  </si>
  <si>
    <t>PCB</t>
  </si>
  <si>
    <t>RX margin</t>
  </si>
  <si>
    <t>RX dBm</t>
  </si>
  <si>
    <t>RX sensitivity</t>
  </si>
  <si>
    <t>dBm</t>
  </si>
  <si>
    <t>received power:</t>
  </si>
  <si>
    <t>dB</t>
  </si>
  <si>
    <t>RX matching loss</t>
  </si>
  <si>
    <t>RX cable loss</t>
  </si>
  <si>
    <t>RX antenna gain</t>
  </si>
  <si>
    <t>polarization match loss</t>
  </si>
  <si>
    <t>free space path loss</t>
  </si>
  <si>
    <t>MHz</t>
  </si>
  <si>
    <t>freq.</t>
  </si>
  <si>
    <t>TX antenna gain</t>
  </si>
  <si>
    <t>mi</t>
  </si>
  <si>
    <t>ft</t>
  </si>
  <si>
    <t>km</t>
  </si>
  <si>
    <t>TX antenna matching loss</t>
  </si>
  <si>
    <t>ground dist</t>
  </si>
  <si>
    <t>TX cable loss</t>
  </si>
  <si>
    <t>deg</t>
  </si>
  <si>
    <t>TX power</t>
  </si>
  <si>
    <t>altitude</t>
  </si>
  <si>
    <t>DRAFT/TEMPLATE</t>
  </si>
  <si>
    <t>Mass &amp; Pwr Design Budgets</t>
  </si>
  <si>
    <t>FSPL (from above)</t>
  </si>
  <si>
    <t>est max burst altitude</t>
  </si>
  <si>
    <t>total slant distance</t>
  </si>
  <si>
    <t>angle from vertical</t>
  </si>
  <si>
    <t>55 deg is -3dB beamwidth of antenna</t>
  </si>
  <si>
    <t>from datasheet, 28 +/-1 dBm</t>
  </si>
  <si>
    <t>est</t>
  </si>
  <si>
    <t>assume isotropic for now</t>
  </si>
  <si>
    <t>per datasheet</t>
  </si>
  <si>
    <t>needs to be &gt;&gt;0 dB to have chance of RX</t>
  </si>
  <si>
    <t>7.7 max at 0 deg for perfect antenna, -1 for construction</t>
  </si>
  <si>
    <t>gnd dist (km)</t>
  </si>
  <si>
    <t>RX margin (dB)</t>
  </si>
  <si>
    <t>angle (deg)</t>
  </si>
  <si>
    <t>summary of a few cases</t>
  </si>
  <si>
    <t>est for a) CP to linear or b) linear/linear at 60 deg skew</t>
  </si>
  <si>
    <t>Value</t>
  </si>
  <si>
    <t>RF Link Budget</t>
  </si>
  <si>
    <t>(same as http://www.everythingrf.com/rf-calculators/free-space-path-loss-calculator)</t>
  </si>
  <si>
    <t>Parameter</t>
  </si>
  <si>
    <t>Alternate units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</si>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</sst>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i/>
      <u/>
      <sz val="11"/>
      <color theme="0" tint="-0.499984740745262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5" fillId="0" borderId="3" xfId="0" applyFont="1" applyBorder="1"/>
    <xf numFmtId="0" fontId="3" fillId="0" borderId="2" xfId="0" applyFont="1" applyBorder="1"/>
    <xf numFmtId="0" fontId="0" fillId="0" borderId="2" xfId="0" applyBorder="1" applyAlignment="1">
      <alignment horizontal="left" indent="1"/>
    </xf>
    <xf numFmtId="0" fontId="0" fillId="0" borderId="2" xfId="0" applyBorder="1"/>
    <xf numFmtId="0" fontId="4" fillId="0" borderId="2" xfId="0" applyFont="1" applyBorder="1"/>
    <xf numFmtId="0" fontId="0" fillId="0" borderId="2" xfId="0" quotePrefix="1" applyBorder="1" applyAlignment="1">
      <alignment horizontal="left" indent="1"/>
    </xf>
    <xf numFmtId="164" fontId="0" fillId="0" borderId="0" xfId="0" applyNumberFormat="1"/>
    <xf numFmtId="164" fontId="5" fillId="0" borderId="0" xfId="0" applyNumberFormat="1" applyFont="1"/>
    <xf numFmtId="0" fontId="5" fillId="0" borderId="0" xfId="0" applyFont="1"/>
    <xf numFmtId="164" fontId="0" fillId="0" borderId="4" xfId="0" applyNumberFormat="1" applyBorder="1"/>
    <xf numFmtId="2" fontId="0" fillId="0" borderId="0" xfId="0" applyNumberFormat="1"/>
    <xf numFmtId="0" fontId="0" fillId="0" borderId="4" xfId="0" applyBorder="1"/>
    <xf numFmtId="0" fontId="3" fillId="0" borderId="0" xfId="0" applyFont="1"/>
    <xf numFmtId="164" fontId="3" fillId="0" borderId="0" xfId="0" applyNumberFormat="1" applyFont="1"/>
    <xf numFmtId="0" fontId="6" fillId="0" borderId="0" xfId="0" applyFont="1" applyAlignment="1"/>
    <xf numFmtId="164" fontId="7" fillId="0" borderId="0" xfId="0" applyNumberFormat="1" applyFont="1"/>
    <xf numFmtId="0" fontId="8" fillId="0" borderId="0" xfId="0" applyFont="1"/>
    <xf numFmtId="0" fontId="8" fillId="0" borderId="4" xfId="0" applyFont="1" applyBorder="1"/>
    <xf numFmtId="164" fontId="8" fillId="0" borderId="4" xfId="0" applyNumberFormat="1" applyFont="1" applyBorder="1"/>
    <xf numFmtId="0" fontId="9" fillId="0" borderId="0" xfId="0" applyFont="1"/>
    <xf numFmtId="0" fontId="0" fillId="0" borderId="1" xfId="0" applyBorder="1"/>
    <xf numFmtId="0" fontId="5" fillId="2" borderId="0" xfId="0" applyFont="1" applyFill="1"/>
    <xf numFmtId="164" fontId="5" fillId="2" borderId="0" xfId="0" applyNumberFormat="1" applyFont="1" applyFill="1"/>
    <xf numFmtId="0" fontId="4" fillId="0" borderId="0" xfId="0" applyFont="1"/>
    <xf numFmtId="0" fontId="10" fillId="0" borderId="0" xfId="0" applyFont="1"/>
    <xf numFmtId="0" fontId="11" fillId="0" borderId="0" xfId="0" applyFont="1"/>
    <xf numFmtId="1" fontId="11" fillId="0" borderId="0" xfId="0" applyNumberFormat="1" applyFont="1"/>
    <xf numFmtId="164" fontId="11" fillId="0" borderId="0" xfId="0" applyNumberFormat="1" applyFont="1"/>
    <xf numFmtId="0" fontId="12" fillId="0" borderId="0" xfId="0" applyFont="1"/>
    <xf numFmtId="0" fontId="13" fillId="0" borderId="0" xfId="0" applyFont="1"/>
    <xf numFmtId="164" fontId="13" fillId="0" borderId="0" xfId="0" applyNumberFormat="1" applyFont="1"/>
    <xf numFmtId="0" fontId="14" fillId="0" borderId="0" xfId="0" applyFont="1"/>
    <xf numFmtId="164" fontId="14" fillId="0" borderId="0" xfId="0" applyNumberFormat="1" applyFont="1"/>
  </cellXfs>
  <cellStyles count="1">
    <cellStyle name="Normal" xfId="0" builtinId="0"/>
  </cellStyles>
  <dxfs count="3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123825</xdr:colOff>
      <xdr:row>1</xdr:row>
      <xdr:rowOff>133350</xdr:rowOff>
    </xdr:from>
    <xdr:to>
      <xdr:col>23</xdr:col>
      <xdr:colOff>323850</xdr:colOff>
      <xdr:row>29</xdr:row>
      <xdr:rowOff>11142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31201-182D-6ECA-A2C5-995708CAF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5" y="323850"/>
          <a:ext cx="6905625" cy="5211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C4A81-A407-4F9D-A3E1-6CD6DBCC8D96}" name="Table1" displayName="Table1" ref="G28:I32" totalsRowShown="0">
  <autoFilter ref="G28:I32" xr:uid="{C5FC4A81-A407-4F9D-A3E1-6CD6DBCC8D96}">
    <filterColumn colId="0" hiddenButton="1"/>
    <filterColumn colId="1" hiddenButton="1"/>
    <filterColumn colId="2" hiddenButton="1"/>
  </autoFilter>
  <tableColumns count="3">
    <tableColumn id="1" xr3:uid="{0914F27D-E1D5-4030-824C-A9D5792A57B5}" name="angle (deg)" dataDxfId="2"/>
    <tableColumn id="2" xr3:uid="{48DA3541-6A84-4018-BC89-CDFAE9E0DA78}" name="gnd dist (km)" dataDxfId="1"/>
    <tableColumn id="3" xr3:uid="{519969CA-7FBE-4265-A0A2-D47209E8CC47}" name="RX margin (dB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3784-D94E-4126-9D83-2539AE887C7F}">
  <dimension ref="B2:G31"/>
  <sheetViews>
    <sheetView zoomScale="108" zoomScaleNormal="229" workbookViewId="0">
      <selection activeCell="B2" sqref="B2"/>
    </sheetView>
  </sheetViews>
  <sheetFormatPr defaultRowHeight="15" x14ac:dyDescent="0.25"/>
  <cols>
    <col min="2" max="2" width="32.7109375" customWidth="1"/>
    <col min="3" max="6" width="9.42578125" style="3" customWidth="1"/>
  </cols>
  <sheetData>
    <row r="2" spans="2:7" x14ac:dyDescent="0.25">
      <c r="B2" s="1" t="s">
        <v>0</v>
      </c>
    </row>
    <row r="4" spans="2:7" x14ac:dyDescent="0.25">
      <c r="B4" s="2" t="s">
        <v>52</v>
      </c>
      <c r="C4" s="19" t="s">
        <v>51</v>
      </c>
    </row>
    <row r="6" spans="2:7" ht="45" x14ac:dyDescent="0.25">
      <c r="B6" s="5" t="s">
        <v>1</v>
      </c>
      <c r="C6" s="4" t="s">
        <v>16</v>
      </c>
      <c r="D6" s="4" t="s">
        <v>25</v>
      </c>
      <c r="E6" s="4" t="s">
        <v>3</v>
      </c>
      <c r="F6" s="4" t="s">
        <v>2</v>
      </c>
      <c r="G6" s="1"/>
    </row>
    <row r="7" spans="2:7" x14ac:dyDescent="0.25">
      <c r="B7" s="6" t="s">
        <v>4</v>
      </c>
      <c r="D7" s="3">
        <v>0</v>
      </c>
      <c r="E7" s="3">
        <v>0</v>
      </c>
    </row>
    <row r="8" spans="2:7" x14ac:dyDescent="0.25">
      <c r="B8" s="7" t="s">
        <v>24</v>
      </c>
    </row>
    <row r="9" spans="2:7" x14ac:dyDescent="0.25">
      <c r="B9" s="7" t="s">
        <v>19</v>
      </c>
    </row>
    <row r="10" spans="2:7" x14ac:dyDescent="0.25">
      <c r="B10" s="7" t="s">
        <v>18</v>
      </c>
    </row>
    <row r="11" spans="2:7" x14ac:dyDescent="0.25">
      <c r="B11" s="8"/>
    </row>
    <row r="12" spans="2:7" x14ac:dyDescent="0.25">
      <c r="B12" s="9" t="s">
        <v>26</v>
      </c>
    </row>
    <row r="13" spans="2:7" x14ac:dyDescent="0.25">
      <c r="B13" s="7" t="s">
        <v>27</v>
      </c>
    </row>
    <row r="14" spans="2:7" x14ac:dyDescent="0.25">
      <c r="B14" s="10" t="s">
        <v>6</v>
      </c>
    </row>
    <row r="15" spans="2:7" x14ac:dyDescent="0.25">
      <c r="B15" s="7" t="s">
        <v>8</v>
      </c>
    </row>
    <row r="16" spans="2:7" x14ac:dyDescent="0.25">
      <c r="B16" s="7" t="s">
        <v>20</v>
      </c>
    </row>
    <row r="17" spans="2:2" x14ac:dyDescent="0.25">
      <c r="B17" s="7" t="s">
        <v>21</v>
      </c>
    </row>
    <row r="18" spans="2:2" x14ac:dyDescent="0.25">
      <c r="B18" s="7" t="s">
        <v>22</v>
      </c>
    </row>
    <row r="19" spans="2:2" x14ac:dyDescent="0.25">
      <c r="B19" s="8"/>
    </row>
    <row r="20" spans="2:2" x14ac:dyDescent="0.25">
      <c r="B20" s="9" t="s">
        <v>15</v>
      </c>
    </row>
    <row r="21" spans="2:2" x14ac:dyDescent="0.25">
      <c r="B21" s="7" t="s">
        <v>12</v>
      </c>
    </row>
    <row r="22" spans="2:2" x14ac:dyDescent="0.25">
      <c r="B22" s="7" t="s">
        <v>10</v>
      </c>
    </row>
    <row r="23" spans="2:2" x14ac:dyDescent="0.25">
      <c r="B23" s="7" t="s">
        <v>14</v>
      </c>
    </row>
    <row r="24" spans="2:2" x14ac:dyDescent="0.25">
      <c r="B24" s="7" t="s">
        <v>5</v>
      </c>
    </row>
    <row r="25" spans="2:2" x14ac:dyDescent="0.25">
      <c r="B25" s="7" t="s">
        <v>17</v>
      </c>
    </row>
    <row r="26" spans="2:2" x14ac:dyDescent="0.25">
      <c r="B26" s="7"/>
    </row>
    <row r="27" spans="2:2" x14ac:dyDescent="0.25">
      <c r="B27" s="9" t="s">
        <v>13</v>
      </c>
    </row>
    <row r="28" spans="2:2" x14ac:dyDescent="0.25">
      <c r="B28" s="7" t="s">
        <v>9</v>
      </c>
    </row>
    <row r="29" spans="2:2" x14ac:dyDescent="0.25">
      <c r="B29" s="7" t="s">
        <v>11</v>
      </c>
    </row>
    <row r="30" spans="2:2" x14ac:dyDescent="0.25">
      <c r="B30" s="7" t="s">
        <v>7</v>
      </c>
    </row>
    <row r="31" spans="2:2" x14ac:dyDescent="0.25">
      <c r="B31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D7B4-B3A1-465E-944A-3BD57A722268}">
  <dimension ref="B2:J34"/>
  <sheetViews>
    <sheetView tabSelected="1" workbookViewId="0">
      <selection activeCell="F13" sqref="F13"/>
    </sheetView>
  </sheetViews>
  <sheetFormatPr defaultRowHeight="15" x14ac:dyDescent="0.25"/>
  <cols>
    <col min="2" max="2" width="26.28515625" bestFit="1" customWidth="1"/>
    <col min="6" max="6" width="3" bestFit="1" customWidth="1"/>
    <col min="7" max="7" width="11" customWidth="1"/>
    <col min="8" max="8" width="12.7109375" bestFit="1" customWidth="1"/>
    <col min="9" max="9" width="12.140625" customWidth="1"/>
    <col min="10" max="10" width="44.7109375" bestFit="1" customWidth="1"/>
  </cols>
  <sheetData>
    <row r="2" spans="2:10" x14ac:dyDescent="0.25">
      <c r="B2" s="1" t="s">
        <v>0</v>
      </c>
      <c r="D2" t="s">
        <v>70</v>
      </c>
    </row>
    <row r="3" spans="2:10" x14ac:dyDescent="0.25">
      <c r="B3" s="1"/>
    </row>
    <row r="4" spans="2:10" s="17" customFormat="1" x14ac:dyDescent="0.25">
      <c r="B4" s="28" t="s">
        <v>72</v>
      </c>
      <c r="C4" s="17" t="s">
        <v>69</v>
      </c>
      <c r="E4" s="29" t="s">
        <v>73</v>
      </c>
      <c r="F4" s="30"/>
      <c r="G4" s="30"/>
      <c r="H4" s="30"/>
      <c r="J4" s="28" t="s">
        <v>74</v>
      </c>
    </row>
    <row r="5" spans="2:10" x14ac:dyDescent="0.25">
      <c r="B5" t="s">
        <v>50</v>
      </c>
      <c r="C5" s="16">
        <v>35</v>
      </c>
      <c r="D5" t="s">
        <v>44</v>
      </c>
      <c r="E5" s="31">
        <f>C5*1000/0.3048</f>
        <v>114829.39632545931</v>
      </c>
      <c r="F5" s="30" t="s">
        <v>43</v>
      </c>
      <c r="G5" s="32">
        <f>E5/5280</f>
        <v>21.747991728306687</v>
      </c>
      <c r="H5" s="30" t="s">
        <v>42</v>
      </c>
      <c r="J5" t="s">
        <v>54</v>
      </c>
    </row>
    <row r="6" spans="2:10" x14ac:dyDescent="0.25">
      <c r="B6" s="21" t="s">
        <v>56</v>
      </c>
      <c r="C6" s="22">
        <f>55/2</f>
        <v>27.5</v>
      </c>
      <c r="D6" t="s">
        <v>48</v>
      </c>
      <c r="E6" s="33"/>
      <c r="F6" s="33"/>
      <c r="G6" s="32"/>
      <c r="H6" s="30"/>
      <c r="J6" s="24" t="s">
        <v>57</v>
      </c>
    </row>
    <row r="7" spans="2:10" x14ac:dyDescent="0.25">
      <c r="B7" t="s">
        <v>46</v>
      </c>
      <c r="C7" s="11">
        <f>C5*TAN(RADIANS(C6))</f>
        <v>18.219846769311118</v>
      </c>
      <c r="D7" t="s">
        <v>44</v>
      </c>
      <c r="E7" s="31">
        <f>C7*1000/0.3048</f>
        <v>59776.400161781887</v>
      </c>
      <c r="F7" s="30" t="s">
        <v>43</v>
      </c>
      <c r="G7" s="32">
        <f>E7/5280</f>
        <v>11.321287909428388</v>
      </c>
      <c r="H7" s="30" t="s">
        <v>42</v>
      </c>
    </row>
    <row r="8" spans="2:10" x14ac:dyDescent="0.25">
      <c r="B8" t="s">
        <v>55</v>
      </c>
      <c r="C8" s="11">
        <f>SQRT(SUMSQ(C5,C7))</f>
        <v>39.45836814032198</v>
      </c>
      <c r="D8" t="s">
        <v>44</v>
      </c>
      <c r="E8" s="31">
        <f>C8*1000/0.3048</f>
        <v>129456.58838688313</v>
      </c>
      <c r="F8" s="30" t="s">
        <v>43</v>
      </c>
      <c r="G8" s="32">
        <f>E8/5280</f>
        <v>24.518293255091503</v>
      </c>
      <c r="H8" s="30" t="s">
        <v>42</v>
      </c>
    </row>
    <row r="9" spans="2:10" x14ac:dyDescent="0.25">
      <c r="B9" s="25" t="s">
        <v>40</v>
      </c>
      <c r="C9" s="16">
        <v>907</v>
      </c>
      <c r="D9" s="25" t="s">
        <v>39</v>
      </c>
      <c r="E9" s="25"/>
      <c r="F9" s="25"/>
      <c r="G9" s="25"/>
      <c r="H9" s="25"/>
      <c r="I9" s="25"/>
      <c r="J9" s="25"/>
    </row>
    <row r="10" spans="2:10" x14ac:dyDescent="0.25">
      <c r="B10" s="34" t="s">
        <v>38</v>
      </c>
      <c r="C10" s="35">
        <f>20*LOG10(C8*1000)+20*LOG10(C9*1000000)+20*LOG10(4*PI()/(300000000))</f>
        <v>123.51670033507838</v>
      </c>
      <c r="D10" s="34" t="s">
        <v>33</v>
      </c>
      <c r="J10" t="s">
        <v>71</v>
      </c>
    </row>
    <row r="11" spans="2:10" x14ac:dyDescent="0.25">
      <c r="C11" s="15"/>
    </row>
    <row r="12" spans="2:10" x14ac:dyDescent="0.25">
      <c r="B12" t="s">
        <v>49</v>
      </c>
      <c r="C12" s="14">
        <v>27</v>
      </c>
      <c r="D12" t="s">
        <v>31</v>
      </c>
      <c r="J12" t="s">
        <v>58</v>
      </c>
    </row>
    <row r="13" spans="2:10" x14ac:dyDescent="0.25">
      <c r="B13" t="s">
        <v>47</v>
      </c>
      <c r="C13" s="14">
        <v>-3</v>
      </c>
      <c r="D13" t="s">
        <v>33</v>
      </c>
      <c r="J13" t="s">
        <v>59</v>
      </c>
    </row>
    <row r="14" spans="2:10" x14ac:dyDescent="0.25">
      <c r="B14" t="s">
        <v>45</v>
      </c>
      <c r="C14" s="14">
        <v>-3</v>
      </c>
      <c r="D14" t="s">
        <v>33</v>
      </c>
      <c r="J14" t="s">
        <v>59</v>
      </c>
    </row>
    <row r="15" spans="2:10" x14ac:dyDescent="0.25">
      <c r="B15" s="21" t="s">
        <v>41</v>
      </c>
      <c r="C15" s="23">
        <f>7.7-1-3</f>
        <v>3.7</v>
      </c>
      <c r="D15" t="s">
        <v>33</v>
      </c>
      <c r="J15" s="24" t="s">
        <v>63</v>
      </c>
    </row>
    <row r="16" spans="2:10" x14ac:dyDescent="0.25">
      <c r="B16" s="36" t="s">
        <v>53</v>
      </c>
      <c r="C16" s="37">
        <f>-C10</f>
        <v>-123.51670033507838</v>
      </c>
      <c r="D16" s="36" t="s">
        <v>33</v>
      </c>
    </row>
    <row r="17" spans="2:10" x14ac:dyDescent="0.25">
      <c r="B17" t="s">
        <v>37</v>
      </c>
      <c r="C17" s="14">
        <v>-3</v>
      </c>
      <c r="D17" t="s">
        <v>33</v>
      </c>
      <c r="J17" t="s">
        <v>68</v>
      </c>
    </row>
    <row r="18" spans="2:10" x14ac:dyDescent="0.25">
      <c r="B18" s="21" t="s">
        <v>36</v>
      </c>
      <c r="C18" s="23">
        <v>0</v>
      </c>
      <c r="D18" t="s">
        <v>33</v>
      </c>
      <c r="J18" s="24" t="s">
        <v>60</v>
      </c>
    </row>
    <row r="19" spans="2:10" x14ac:dyDescent="0.25">
      <c r="B19" t="s">
        <v>35</v>
      </c>
      <c r="C19" s="14">
        <v>-3</v>
      </c>
      <c r="D19" t="s">
        <v>33</v>
      </c>
      <c r="J19" t="s">
        <v>59</v>
      </c>
    </row>
    <row r="20" spans="2:10" x14ac:dyDescent="0.25">
      <c r="B20" s="25" t="s">
        <v>34</v>
      </c>
      <c r="C20" s="14">
        <v>-3</v>
      </c>
      <c r="D20" s="25" t="s">
        <v>33</v>
      </c>
      <c r="E20" s="25"/>
      <c r="F20" s="25"/>
      <c r="G20" s="25"/>
      <c r="H20" s="25"/>
      <c r="I20" s="25"/>
      <c r="J20" s="25" t="s">
        <v>59</v>
      </c>
    </row>
    <row r="21" spans="2:10" x14ac:dyDescent="0.25">
      <c r="B21" s="13" t="s">
        <v>32</v>
      </c>
      <c r="C21" s="12">
        <f>SUM(C12:C20)</f>
        <v>-107.81670033507838</v>
      </c>
      <c r="D21" s="13" t="s">
        <v>31</v>
      </c>
    </row>
    <row r="23" spans="2:10" x14ac:dyDescent="0.25">
      <c r="B23" s="25" t="s">
        <v>30</v>
      </c>
      <c r="C23" s="14">
        <v>-137</v>
      </c>
      <c r="D23" s="25" t="s">
        <v>29</v>
      </c>
      <c r="E23" s="25"/>
      <c r="F23" s="25"/>
      <c r="G23" s="25"/>
      <c r="H23" s="25"/>
      <c r="I23" s="25"/>
      <c r="J23" s="25" t="s">
        <v>61</v>
      </c>
    </row>
    <row r="24" spans="2:10" x14ac:dyDescent="0.25">
      <c r="C24" s="11"/>
    </row>
    <row r="25" spans="2:10" x14ac:dyDescent="0.25">
      <c r="B25" s="26" t="s">
        <v>28</v>
      </c>
      <c r="C25" s="27">
        <f>C21-C23</f>
        <v>29.18329966492162</v>
      </c>
      <c r="D25" s="13" t="s">
        <v>33</v>
      </c>
      <c r="J25" s="13" t="s">
        <v>62</v>
      </c>
    </row>
    <row r="26" spans="2:10" x14ac:dyDescent="0.25">
      <c r="G26" s="11"/>
    </row>
    <row r="27" spans="2:10" x14ac:dyDescent="0.25">
      <c r="G27" s="20" t="s">
        <v>67</v>
      </c>
    </row>
    <row r="28" spans="2:10" x14ac:dyDescent="0.25">
      <c r="G28" s="11" t="s">
        <v>66</v>
      </c>
      <c r="H28" t="s">
        <v>64</v>
      </c>
      <c r="I28" t="s">
        <v>65</v>
      </c>
    </row>
    <row r="29" spans="2:10" x14ac:dyDescent="0.25">
      <c r="G29" s="17">
        <v>0</v>
      </c>
      <c r="H29" s="17">
        <v>0</v>
      </c>
      <c r="I29" s="17">
        <v>33.200000000000003</v>
      </c>
    </row>
    <row r="30" spans="2:10" x14ac:dyDescent="0.25">
      <c r="G30" s="18">
        <v>27.5</v>
      </c>
      <c r="H30" s="17">
        <v>18.2</v>
      </c>
      <c r="I30" s="17">
        <v>29.2</v>
      </c>
    </row>
    <row r="31" spans="2:10" x14ac:dyDescent="0.25">
      <c r="G31" s="18">
        <v>48</v>
      </c>
      <c r="H31" s="17">
        <v>38.9</v>
      </c>
      <c r="I31" s="17">
        <v>19.7</v>
      </c>
    </row>
    <row r="32" spans="2:10" x14ac:dyDescent="0.25">
      <c r="G32" s="18">
        <v>60</v>
      </c>
      <c r="H32" s="17">
        <v>68.7</v>
      </c>
      <c r="I32" s="17">
        <v>6.4</v>
      </c>
    </row>
    <row r="33" spans="7:7" x14ac:dyDescent="0.25">
      <c r="G33" s="11"/>
    </row>
    <row r="34" spans="7:7" x14ac:dyDescent="0.25">
      <c r="G34" s="1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mass_and_power</vt:lpstr>
      <vt:lpstr>RF_link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Hahn</dc:creator>
  <cp:lastModifiedBy>Nick Hahn</cp:lastModifiedBy>
  <dcterms:created xsi:type="dcterms:W3CDTF">2026-01-09T15:43:45Z</dcterms:created>
  <dcterms:modified xsi:type="dcterms:W3CDTF">2026-02-03T22:41:49Z</dcterms:modified>
</cp:coreProperties>
</file>